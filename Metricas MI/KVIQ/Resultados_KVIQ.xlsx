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iso\Escritorio\"/>
    </mc:Choice>
  </mc:AlternateContent>
  <xr:revisionPtr revIDLastSave="0" documentId="13_ncr:1_{841F0372-A125-4806-8354-148CAD06E96A}" xr6:coauthVersionLast="47" xr6:coauthVersionMax="47" xr10:uidLastSave="{00000000-0000-0000-0000-000000000000}"/>
  <bookViews>
    <workbookView xWindow="-108" yWindow="-108" windowWidth="23256" windowHeight="12456" xr2:uid="{EDC7949E-A3EB-495A-89C8-1B22E934C213}"/>
  </bookViews>
  <sheets>
    <sheet name="Hoja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" i="7" l="1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3" i="7"/>
  <c r="Z24" i="7"/>
  <c r="Y24" i="7"/>
  <c r="Z23" i="7"/>
  <c r="Y23" i="7"/>
  <c r="Z22" i="7"/>
  <c r="Y22" i="7"/>
  <c r="Z21" i="7"/>
  <c r="Y21" i="7"/>
  <c r="Z20" i="7"/>
  <c r="Y20" i="7"/>
  <c r="Z19" i="7"/>
  <c r="Y19" i="7"/>
  <c r="Z18" i="7"/>
  <c r="Y18" i="7"/>
  <c r="Z17" i="7"/>
  <c r="Y17" i="7"/>
  <c r="Z16" i="7"/>
  <c r="Y16" i="7"/>
  <c r="Z15" i="7"/>
  <c r="Y15" i="7"/>
  <c r="Z14" i="7"/>
  <c r="Y14" i="7"/>
  <c r="Z13" i="7"/>
  <c r="Y13" i="7"/>
  <c r="Z12" i="7"/>
  <c r="Y12" i="7"/>
  <c r="Z11" i="7"/>
  <c r="Y11" i="7"/>
  <c r="Z10" i="7"/>
  <c r="Y10" i="7"/>
  <c r="Z9" i="7"/>
  <c r="Y9" i="7"/>
  <c r="Z8" i="7"/>
  <c r="Y8" i="7"/>
  <c r="Z7" i="7"/>
  <c r="Y7" i="7"/>
  <c r="Z6" i="7"/>
  <c r="Y6" i="7"/>
  <c r="Z5" i="7"/>
  <c r="Y5" i="7"/>
  <c r="Z4" i="7"/>
  <c r="Y4" i="7"/>
  <c r="Z3" i="7"/>
  <c r="Y3" i="7"/>
</calcChain>
</file>

<file path=xl/sharedStrings.xml><?xml version="1.0" encoding="utf-8"?>
<sst xmlns="http://schemas.openxmlformats.org/spreadsheetml/2006/main" count="120" uniqueCount="61">
  <si>
    <t>Sujeto</t>
  </si>
  <si>
    <t>Genero</t>
  </si>
  <si>
    <t>Edad</t>
  </si>
  <si>
    <t>V</t>
  </si>
  <si>
    <t>K</t>
  </si>
  <si>
    <t>Dominancia</t>
  </si>
  <si>
    <t>Fecha</t>
  </si>
  <si>
    <t>1V</t>
  </si>
  <si>
    <t>2V</t>
  </si>
  <si>
    <t>3Vnd</t>
  </si>
  <si>
    <t>4Vd</t>
  </si>
  <si>
    <t>5Vd</t>
  </si>
  <si>
    <t>6V</t>
  </si>
  <si>
    <t>7Vnd</t>
  </si>
  <si>
    <t>8Vd</t>
  </si>
  <si>
    <t>9Vnd</t>
  </si>
  <si>
    <t>10Vd</t>
  </si>
  <si>
    <t>1K</t>
  </si>
  <si>
    <t>2K</t>
  </si>
  <si>
    <t>3Knd</t>
  </si>
  <si>
    <t>4Kd</t>
  </si>
  <si>
    <t>5Kd</t>
  </si>
  <si>
    <t>6K</t>
  </si>
  <si>
    <t>7Knd</t>
  </si>
  <si>
    <t>8Kd</t>
  </si>
  <si>
    <t>9Knd</t>
  </si>
  <si>
    <t>10Kd</t>
  </si>
  <si>
    <t>S1</t>
  </si>
  <si>
    <t>Masculino</t>
  </si>
  <si>
    <t>S2</t>
  </si>
  <si>
    <t>S3</t>
  </si>
  <si>
    <t>Femenino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</si>
  <si>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</si>
  <si>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</si>
  <si>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</si>
  <si>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</si>
  <si>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</si>
  <si>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</si>
  <si>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</si>
  <si>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</si>
  <si>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</si>
  <si>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</si>
  <si>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</si>
  <si>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</si>
  <si>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</si>
  <si>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</si>
  <si>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</si>
  <si>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</si>
  <si>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</si>
  <si>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</si>
  <si>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</si>
  <si>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Visual</t>
  </si>
  <si>
    <t>Cinestesico</t>
  </si>
  <si>
    <t>Balanceado</t>
  </si>
  <si>
    <t>Lateralidad</t>
  </si>
  <si>
    <t>Diestro</t>
  </si>
  <si>
    <t>Zurdo</t>
  </si>
  <si>
    <t>V Ajust</t>
  </si>
  <si>
    <t>K Ajust</t>
  </si>
  <si>
    <t>Reactivos VISUALES</t>
  </si>
  <si>
    <t>Reactivos CINESTESICOS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</si>
</sst>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6DCE624-752B-45A1-BEB9-D306E660E8C2}"/>
  </tableStyles>
  <colors>
    <mruColors>
      <color rgb="FFD2CECD"/>
      <color rgb="FFA69F9D"/>
      <color rgb="FFCFF9FF"/>
      <color rgb="FF96F2FF"/>
      <color rgb="FF554845"/>
      <color rgb="FF594641"/>
      <color rgb="FF785249"/>
      <color rgb="FFFFA996"/>
      <color rgb="FF4B7177"/>
      <color rgb="FF756D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731B-8375-48AE-BF7E-574C61CF1FBE}">
  <sheetPr>
    <pageSetUpPr fitToPage="1"/>
  </sheetPr>
  <dimension ref="A1:AD24"/>
  <sheetViews>
    <sheetView tabSelected="1" zoomScale="90" zoomScaleNormal="90" zoomScaleSheetLayoutView="90" workbookViewId="0">
      <selection activeCell="T9" sqref="T9"/>
    </sheetView>
  </sheetViews>
  <sheetFormatPr baseColWidth="10" defaultColWidth="11.44140625" defaultRowHeight="18" x14ac:dyDescent="0.35"/>
  <cols>
    <col min="1" max="1" width="8" style="1" customWidth="1"/>
    <col min="2" max="2" width="11.88671875" style="1" bestFit="1" customWidth="1"/>
    <col min="3" max="3" width="6.44140625" style="1" bestFit="1" customWidth="1"/>
    <col min="4" max="4" width="13.21875" style="1" bestFit="1" customWidth="1"/>
    <col min="5" max="6" width="3.44140625" style="1" bestFit="1" customWidth="1"/>
    <col min="7" max="7" width="5.6640625" style="1" bestFit="1" customWidth="1"/>
    <col min="8" max="9" width="4.5546875" style="1" bestFit="1" customWidth="1"/>
    <col min="10" max="10" width="3.44140625" style="1" bestFit="1" customWidth="1"/>
    <col min="11" max="11" width="5.6640625" style="1" bestFit="1" customWidth="1"/>
    <col min="12" max="12" width="4.5546875" style="1" bestFit="1" customWidth="1"/>
    <col min="13" max="14" width="5.6640625" style="1" bestFit="1" customWidth="1"/>
    <col min="15" max="16" width="3.33203125" style="1" bestFit="1" customWidth="1"/>
    <col min="17" max="17" width="5.5546875" style="1" customWidth="1"/>
    <col min="18" max="19" width="4.44140625" style="1" bestFit="1" customWidth="1"/>
    <col min="20" max="20" width="3.33203125" style="1" bestFit="1" customWidth="1"/>
    <col min="21" max="21" width="5.5546875" style="1" customWidth="1"/>
    <col min="22" max="22" width="4.44140625" style="1" bestFit="1" customWidth="1"/>
    <col min="23" max="24" width="5.5546875" style="1" customWidth="1"/>
    <col min="25" max="26" width="3.77734375" style="1" bestFit="1" customWidth="1"/>
    <col min="27" max="28" width="8.6640625" style="1" bestFit="1" customWidth="1"/>
    <col min="29" max="29" width="13.77734375" style="1" bestFit="1" customWidth="1"/>
    <col min="30" max="30" width="13.6640625" style="1" bestFit="1" customWidth="1"/>
    <col min="31" max="16384" width="11.44140625" style="1"/>
  </cols>
  <sheetData>
    <row r="1" spans="1:30" ht="18.600000000000001" thickBot="1" x14ac:dyDescent="0.4">
      <c r="A1" s="32" t="s">
        <v>0</v>
      </c>
      <c r="B1" s="34" t="s">
        <v>1</v>
      </c>
      <c r="C1" s="34" t="s">
        <v>2</v>
      </c>
      <c r="D1" s="36" t="s">
        <v>54</v>
      </c>
      <c r="E1" s="38" t="s">
        <v>59</v>
      </c>
      <c r="F1" s="39"/>
      <c r="G1" s="39"/>
      <c r="H1" s="39"/>
      <c r="I1" s="39"/>
      <c r="J1" s="39"/>
      <c r="K1" s="39"/>
      <c r="L1" s="39"/>
      <c r="M1" s="39"/>
      <c r="N1" s="39"/>
      <c r="O1" s="39" t="s">
        <v>60</v>
      </c>
      <c r="P1" s="39"/>
      <c r="Q1" s="39"/>
      <c r="R1" s="39"/>
      <c r="S1" s="39"/>
      <c r="T1" s="39"/>
      <c r="U1" s="39"/>
      <c r="V1" s="39"/>
      <c r="W1" s="39"/>
      <c r="X1" s="40"/>
      <c r="Y1" s="26" t="s">
        <v>3</v>
      </c>
      <c r="Z1" s="28" t="s">
        <v>4</v>
      </c>
      <c r="AA1" s="28" t="s">
        <v>57</v>
      </c>
      <c r="AB1" s="28" t="s">
        <v>58</v>
      </c>
      <c r="AC1" s="28" t="s">
        <v>5</v>
      </c>
      <c r="AD1" s="30" t="s">
        <v>6</v>
      </c>
    </row>
    <row r="2" spans="1:30" ht="18.600000000000001" thickBot="1" x14ac:dyDescent="0.4">
      <c r="A2" s="33"/>
      <c r="B2" s="35"/>
      <c r="C2" s="35"/>
      <c r="D2" s="37"/>
      <c r="E2" s="20" t="s">
        <v>7</v>
      </c>
      <c r="F2" s="21" t="s">
        <v>8</v>
      </c>
      <c r="G2" s="21" t="s">
        <v>9</v>
      </c>
      <c r="H2" s="21" t="s">
        <v>10</v>
      </c>
      <c r="I2" s="21" t="s">
        <v>11</v>
      </c>
      <c r="J2" s="21" t="s">
        <v>12</v>
      </c>
      <c r="K2" s="21" t="s">
        <v>13</v>
      </c>
      <c r="L2" s="21" t="s">
        <v>14</v>
      </c>
      <c r="M2" s="21" t="s">
        <v>15</v>
      </c>
      <c r="N2" s="22" t="s">
        <v>16</v>
      </c>
      <c r="O2" s="23" t="s">
        <v>17</v>
      </c>
      <c r="P2" s="24" t="s">
        <v>18</v>
      </c>
      <c r="Q2" s="24" t="s">
        <v>19</v>
      </c>
      <c r="R2" s="24" t="s">
        <v>20</v>
      </c>
      <c r="S2" s="24" t="s">
        <v>21</v>
      </c>
      <c r="T2" s="24" t="s">
        <v>22</v>
      </c>
      <c r="U2" s="24" t="s">
        <v>23</v>
      </c>
      <c r="V2" s="24" t="s">
        <v>24</v>
      </c>
      <c r="W2" s="24" t="s">
        <v>25</v>
      </c>
      <c r="X2" s="25" t="s">
        <v>26</v>
      </c>
      <c r="Y2" s="27"/>
      <c r="Z2" s="29"/>
      <c r="AA2" s="29"/>
      <c r="AB2" s="29"/>
      <c r="AC2" s="29"/>
      <c r="AD2" s="31"/>
    </row>
    <row r="3" spans="1:30" x14ac:dyDescent="0.35">
      <c r="A3" s="4" t="s">
        <v>27</v>
      </c>
      <c r="B3" s="5" t="s">
        <v>28</v>
      </c>
      <c r="C3" s="6">
        <v>22</v>
      </c>
      <c r="D3" s="7" t="s">
        <v>55</v>
      </c>
      <c r="E3" s="4">
        <v>3</v>
      </c>
      <c r="F3" s="5">
        <v>4</v>
      </c>
      <c r="G3" s="5">
        <v>4</v>
      </c>
      <c r="H3" s="5">
        <v>5</v>
      </c>
      <c r="I3" s="5">
        <v>5</v>
      </c>
      <c r="J3" s="5">
        <v>4</v>
      </c>
      <c r="K3" s="5">
        <v>5</v>
      </c>
      <c r="L3" s="5">
        <v>5</v>
      </c>
      <c r="M3" s="5">
        <v>4</v>
      </c>
      <c r="N3" s="7">
        <v>4</v>
      </c>
      <c r="O3" s="4">
        <v>2</v>
      </c>
      <c r="P3" s="5">
        <v>3</v>
      </c>
      <c r="Q3" s="5">
        <v>4</v>
      </c>
      <c r="R3" s="5">
        <v>3</v>
      </c>
      <c r="S3" s="5">
        <v>2</v>
      </c>
      <c r="T3" s="5">
        <v>4</v>
      </c>
      <c r="U3" s="5">
        <v>5</v>
      </c>
      <c r="V3" s="5">
        <v>2</v>
      </c>
      <c r="W3" s="5">
        <v>4</v>
      </c>
      <c r="X3" s="7">
        <v>5</v>
      </c>
      <c r="Y3" s="4">
        <f t="shared" ref="Y3:Y24" si="0">SUM(E3:N3)</f>
        <v>43</v>
      </c>
      <c r="Z3" s="7">
        <f t="shared" ref="Z3:Z18" si="1">SUM(O3:X3)</f>
        <v>34</v>
      </c>
      <c r="AA3" s="4">
        <f>Y3/10</f>
        <v>4.3</v>
      </c>
      <c r="AB3" s="7">
        <f>Z3/10</f>
        <v>3.4</v>
      </c>
      <c r="AC3" s="17" t="s">
        <v>51</v>
      </c>
      <c r="AD3" s="14">
        <v>46059</v>
      </c>
    </row>
    <row r="4" spans="1:30" x14ac:dyDescent="0.35">
      <c r="A4" s="8" t="s">
        <v>29</v>
      </c>
      <c r="B4" s="2" t="s">
        <v>28</v>
      </c>
      <c r="C4" s="3">
        <v>23</v>
      </c>
      <c r="D4" s="9" t="s">
        <v>55</v>
      </c>
      <c r="E4" s="8">
        <v>5</v>
      </c>
      <c r="F4" s="2">
        <v>3</v>
      </c>
      <c r="G4" s="2">
        <v>5</v>
      </c>
      <c r="H4" s="2">
        <v>4</v>
      </c>
      <c r="I4" s="2">
        <v>4</v>
      </c>
      <c r="J4" s="2">
        <v>5</v>
      </c>
      <c r="K4" s="2">
        <v>5</v>
      </c>
      <c r="L4" s="2">
        <v>2</v>
      </c>
      <c r="M4" s="2">
        <v>3</v>
      </c>
      <c r="N4" s="9">
        <v>4</v>
      </c>
      <c r="O4" s="8">
        <v>3</v>
      </c>
      <c r="P4" s="2">
        <v>5</v>
      </c>
      <c r="Q4" s="2">
        <v>4</v>
      </c>
      <c r="R4" s="2">
        <v>4</v>
      </c>
      <c r="S4" s="2">
        <v>5</v>
      </c>
      <c r="T4" s="2">
        <v>4</v>
      </c>
      <c r="U4" s="2">
        <v>3</v>
      </c>
      <c r="V4" s="2">
        <v>5</v>
      </c>
      <c r="W4" s="2">
        <v>4</v>
      </c>
      <c r="X4" s="9">
        <v>5</v>
      </c>
      <c r="Y4" s="8">
        <f t="shared" si="0"/>
        <v>40</v>
      </c>
      <c r="Z4" s="9">
        <f t="shared" si="1"/>
        <v>42</v>
      </c>
      <c r="AA4" s="8">
        <f t="shared" ref="AA4:AA24" si="2">Y4/10</f>
        <v>4</v>
      </c>
      <c r="AB4" s="9">
        <f t="shared" ref="AB4:AB24" si="3">Z4/10</f>
        <v>4.2</v>
      </c>
      <c r="AC4" s="18" t="s">
        <v>53</v>
      </c>
      <c r="AD4" s="15">
        <v>46059</v>
      </c>
    </row>
    <row r="5" spans="1:30" x14ac:dyDescent="0.35">
      <c r="A5" s="8" t="s">
        <v>30</v>
      </c>
      <c r="B5" s="2" t="s">
        <v>31</v>
      </c>
      <c r="C5" s="3">
        <v>22</v>
      </c>
      <c r="D5" s="9" t="s">
        <v>55</v>
      </c>
      <c r="E5" s="8">
        <v>5</v>
      </c>
      <c r="F5" s="2">
        <v>2</v>
      </c>
      <c r="G5" s="2">
        <v>5</v>
      </c>
      <c r="H5" s="2">
        <v>5</v>
      </c>
      <c r="I5" s="2">
        <v>5</v>
      </c>
      <c r="J5" s="2">
        <v>4</v>
      </c>
      <c r="K5" s="2">
        <v>5</v>
      </c>
      <c r="L5" s="2">
        <v>5</v>
      </c>
      <c r="M5" s="2">
        <v>2</v>
      </c>
      <c r="N5" s="9">
        <v>1</v>
      </c>
      <c r="O5" s="8">
        <v>4</v>
      </c>
      <c r="P5" s="2">
        <v>3</v>
      </c>
      <c r="Q5" s="2">
        <v>4</v>
      </c>
      <c r="R5" s="2">
        <v>4</v>
      </c>
      <c r="S5" s="2">
        <v>3</v>
      </c>
      <c r="T5" s="2">
        <v>4</v>
      </c>
      <c r="U5" s="2">
        <v>4</v>
      </c>
      <c r="V5" s="2">
        <v>4</v>
      </c>
      <c r="W5" s="2">
        <v>4</v>
      </c>
      <c r="X5" s="9">
        <v>4</v>
      </c>
      <c r="Y5" s="8">
        <f t="shared" si="0"/>
        <v>39</v>
      </c>
      <c r="Z5" s="9">
        <f t="shared" si="1"/>
        <v>38</v>
      </c>
      <c r="AA5" s="8">
        <f t="shared" si="2"/>
        <v>3.9</v>
      </c>
      <c r="AB5" s="9">
        <f t="shared" si="3"/>
        <v>3.8</v>
      </c>
      <c r="AC5" s="18" t="s">
        <v>53</v>
      </c>
      <c r="AD5" s="15">
        <v>46059</v>
      </c>
    </row>
    <row r="6" spans="1:30" x14ac:dyDescent="0.35">
      <c r="A6" s="8" t="s">
        <v>32</v>
      </c>
      <c r="B6" s="2" t="s">
        <v>28</v>
      </c>
      <c r="C6" s="3">
        <v>22</v>
      </c>
      <c r="D6" s="9" t="s">
        <v>56</v>
      </c>
      <c r="E6" s="8">
        <v>3</v>
      </c>
      <c r="F6" s="2">
        <v>3</v>
      </c>
      <c r="G6" s="2">
        <v>4</v>
      </c>
      <c r="H6" s="2">
        <v>4</v>
      </c>
      <c r="I6" s="2">
        <v>3</v>
      </c>
      <c r="J6" s="2">
        <v>4</v>
      </c>
      <c r="K6" s="2">
        <v>3</v>
      </c>
      <c r="L6" s="2">
        <v>2</v>
      </c>
      <c r="M6" s="2">
        <v>4</v>
      </c>
      <c r="N6" s="9">
        <v>3</v>
      </c>
      <c r="O6" s="8">
        <v>3</v>
      </c>
      <c r="P6" s="2">
        <v>3</v>
      </c>
      <c r="Q6" s="2">
        <v>2</v>
      </c>
      <c r="R6" s="2">
        <v>4</v>
      </c>
      <c r="S6" s="2">
        <v>4</v>
      </c>
      <c r="T6" s="2">
        <v>3</v>
      </c>
      <c r="U6" s="2">
        <v>4</v>
      </c>
      <c r="V6" s="2">
        <v>4</v>
      </c>
      <c r="W6" s="2">
        <v>3</v>
      </c>
      <c r="X6" s="9">
        <v>5</v>
      </c>
      <c r="Y6" s="8">
        <f t="shared" si="0"/>
        <v>33</v>
      </c>
      <c r="Z6" s="9">
        <f t="shared" si="1"/>
        <v>35</v>
      </c>
      <c r="AA6" s="8">
        <f t="shared" si="2"/>
        <v>3.3</v>
      </c>
      <c r="AB6" s="9">
        <f t="shared" si="3"/>
        <v>3.5</v>
      </c>
      <c r="AC6" s="18" t="s">
        <v>53</v>
      </c>
      <c r="AD6" s="15">
        <v>46059</v>
      </c>
    </row>
    <row r="7" spans="1:30" x14ac:dyDescent="0.35">
      <c r="A7" s="8" t="s">
        <v>33</v>
      </c>
      <c r="B7" s="2" t="s">
        <v>28</v>
      </c>
      <c r="C7" s="3">
        <v>23</v>
      </c>
      <c r="D7" s="9" t="s">
        <v>55</v>
      </c>
      <c r="E7" s="8">
        <v>4</v>
      </c>
      <c r="F7" s="2">
        <v>2</v>
      </c>
      <c r="G7" s="2">
        <v>3</v>
      </c>
      <c r="H7" s="2">
        <v>5</v>
      </c>
      <c r="I7" s="2">
        <v>3</v>
      </c>
      <c r="J7" s="2">
        <v>2</v>
      </c>
      <c r="K7" s="2">
        <v>3</v>
      </c>
      <c r="L7" s="2">
        <v>2</v>
      </c>
      <c r="M7" s="2">
        <v>4</v>
      </c>
      <c r="N7" s="9">
        <v>4</v>
      </c>
      <c r="O7" s="8">
        <v>2</v>
      </c>
      <c r="P7" s="2">
        <v>3</v>
      </c>
      <c r="Q7" s="2">
        <v>5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2</v>
      </c>
      <c r="X7" s="9">
        <v>3</v>
      </c>
      <c r="Y7" s="8">
        <f t="shared" si="0"/>
        <v>32</v>
      </c>
      <c r="Z7" s="9">
        <f t="shared" si="1"/>
        <v>30</v>
      </c>
      <c r="AA7" s="8">
        <f t="shared" si="2"/>
        <v>3.2</v>
      </c>
      <c r="AB7" s="9">
        <f t="shared" si="3"/>
        <v>3</v>
      </c>
      <c r="AC7" s="18" t="s">
        <v>53</v>
      </c>
      <c r="AD7" s="15">
        <v>46059</v>
      </c>
    </row>
    <row r="8" spans="1:30" x14ac:dyDescent="0.35">
      <c r="A8" s="8" t="s">
        <v>34</v>
      </c>
      <c r="B8" s="2" t="s">
        <v>31</v>
      </c>
      <c r="C8" s="3">
        <v>23</v>
      </c>
      <c r="D8" s="9" t="s">
        <v>55</v>
      </c>
      <c r="E8" s="8">
        <v>3</v>
      </c>
      <c r="F8" s="2">
        <v>3</v>
      </c>
      <c r="G8" s="2">
        <v>3</v>
      </c>
      <c r="H8" s="2">
        <v>4</v>
      </c>
      <c r="I8" s="2">
        <v>3</v>
      </c>
      <c r="J8" s="2">
        <v>5</v>
      </c>
      <c r="K8" s="2">
        <v>5</v>
      </c>
      <c r="L8" s="2">
        <v>5</v>
      </c>
      <c r="M8" s="2">
        <v>3</v>
      </c>
      <c r="N8" s="9">
        <v>4</v>
      </c>
      <c r="O8" s="8">
        <v>3</v>
      </c>
      <c r="P8" s="2">
        <v>3</v>
      </c>
      <c r="Q8" s="2">
        <v>4</v>
      </c>
      <c r="R8" s="2">
        <v>3</v>
      </c>
      <c r="S8" s="2">
        <v>3</v>
      </c>
      <c r="T8" s="2">
        <v>5</v>
      </c>
      <c r="U8" s="2">
        <v>3</v>
      </c>
      <c r="V8" s="2">
        <v>3</v>
      </c>
      <c r="W8" s="2">
        <v>2</v>
      </c>
      <c r="X8" s="9">
        <v>3</v>
      </c>
      <c r="Y8" s="8">
        <f>SUM(E8:N8)</f>
        <v>38</v>
      </c>
      <c r="Z8" s="9">
        <f t="shared" si="1"/>
        <v>32</v>
      </c>
      <c r="AA8" s="8">
        <f t="shared" si="2"/>
        <v>3.8</v>
      </c>
      <c r="AB8" s="9">
        <f t="shared" si="3"/>
        <v>3.2</v>
      </c>
      <c r="AC8" s="18" t="s">
        <v>51</v>
      </c>
      <c r="AD8" s="15">
        <v>46059</v>
      </c>
    </row>
    <row r="9" spans="1:30" x14ac:dyDescent="0.35">
      <c r="A9" s="8" t="s">
        <v>35</v>
      </c>
      <c r="B9" s="2" t="s">
        <v>31</v>
      </c>
      <c r="C9" s="3">
        <v>22</v>
      </c>
      <c r="D9" s="9" t="s">
        <v>55</v>
      </c>
      <c r="E9" s="8">
        <v>3</v>
      </c>
      <c r="F9" s="2">
        <v>4</v>
      </c>
      <c r="G9" s="2">
        <v>3</v>
      </c>
      <c r="H9" s="2">
        <v>4</v>
      </c>
      <c r="I9" s="2">
        <v>5</v>
      </c>
      <c r="J9" s="2">
        <v>2</v>
      </c>
      <c r="K9" s="2">
        <v>3</v>
      </c>
      <c r="L9" s="2">
        <v>4</v>
      </c>
      <c r="M9" s="2">
        <v>2</v>
      </c>
      <c r="N9" s="9">
        <v>2</v>
      </c>
      <c r="O9" s="8">
        <v>4</v>
      </c>
      <c r="P9" s="2">
        <v>4</v>
      </c>
      <c r="Q9" s="2">
        <v>4</v>
      </c>
      <c r="R9" s="2">
        <v>2</v>
      </c>
      <c r="S9" s="2">
        <v>3</v>
      </c>
      <c r="T9" s="2">
        <v>3</v>
      </c>
      <c r="U9" s="2">
        <v>4</v>
      </c>
      <c r="V9" s="2">
        <v>2</v>
      </c>
      <c r="W9" s="2">
        <v>4</v>
      </c>
      <c r="X9" s="9">
        <v>2</v>
      </c>
      <c r="Y9" s="8">
        <f t="shared" si="0"/>
        <v>32</v>
      </c>
      <c r="Z9" s="9">
        <f t="shared" si="1"/>
        <v>32</v>
      </c>
      <c r="AA9" s="8">
        <f t="shared" si="2"/>
        <v>3.2</v>
      </c>
      <c r="AB9" s="9">
        <f t="shared" si="3"/>
        <v>3.2</v>
      </c>
      <c r="AC9" s="18" t="s">
        <v>53</v>
      </c>
      <c r="AD9" s="15">
        <v>46064</v>
      </c>
    </row>
    <row r="10" spans="1:30" x14ac:dyDescent="0.35">
      <c r="A10" s="8" t="s">
        <v>36</v>
      </c>
      <c r="B10" s="2" t="s">
        <v>31</v>
      </c>
      <c r="C10" s="3">
        <v>22</v>
      </c>
      <c r="D10" s="9" t="s">
        <v>55</v>
      </c>
      <c r="E10" s="8">
        <v>2</v>
      </c>
      <c r="F10" s="2">
        <v>1</v>
      </c>
      <c r="G10" s="2">
        <v>3</v>
      </c>
      <c r="H10" s="2">
        <v>2</v>
      </c>
      <c r="I10" s="2">
        <v>4</v>
      </c>
      <c r="J10" s="2">
        <v>3</v>
      </c>
      <c r="K10" s="2">
        <v>2</v>
      </c>
      <c r="L10" s="2">
        <v>3</v>
      </c>
      <c r="M10" s="2">
        <v>2</v>
      </c>
      <c r="N10" s="9">
        <v>1</v>
      </c>
      <c r="O10" s="8">
        <v>1</v>
      </c>
      <c r="P10" s="2">
        <v>2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9">
        <v>3</v>
      </c>
      <c r="Y10" s="8">
        <f t="shared" si="0"/>
        <v>23</v>
      </c>
      <c r="Z10" s="9">
        <f t="shared" si="1"/>
        <v>24</v>
      </c>
      <c r="AA10" s="8">
        <f t="shared" si="2"/>
        <v>2.2999999999999998</v>
      </c>
      <c r="AB10" s="9">
        <f t="shared" si="3"/>
        <v>2.4</v>
      </c>
      <c r="AC10" s="18" t="s">
        <v>53</v>
      </c>
      <c r="AD10" s="15">
        <v>46185</v>
      </c>
    </row>
    <row r="11" spans="1:30" x14ac:dyDescent="0.35">
      <c r="A11" s="8" t="s">
        <v>37</v>
      </c>
      <c r="B11" s="2" t="s">
        <v>31</v>
      </c>
      <c r="C11" s="3">
        <v>23</v>
      </c>
      <c r="D11" s="9" t="s">
        <v>55</v>
      </c>
      <c r="E11" s="8">
        <v>3</v>
      </c>
      <c r="F11" s="2">
        <v>5</v>
      </c>
      <c r="G11" s="2">
        <v>5</v>
      </c>
      <c r="H11" s="2">
        <v>4</v>
      </c>
      <c r="I11" s="2">
        <v>5</v>
      </c>
      <c r="J11" s="2">
        <v>3</v>
      </c>
      <c r="K11" s="2">
        <v>5</v>
      </c>
      <c r="L11" s="2">
        <v>5</v>
      </c>
      <c r="M11" s="2">
        <v>4</v>
      </c>
      <c r="N11" s="9">
        <v>5</v>
      </c>
      <c r="O11" s="8">
        <v>1</v>
      </c>
      <c r="P11" s="2">
        <v>4</v>
      </c>
      <c r="Q11" s="2">
        <v>4</v>
      </c>
      <c r="R11" s="2">
        <v>3</v>
      </c>
      <c r="S11" s="2">
        <v>4</v>
      </c>
      <c r="T11" s="2">
        <v>4</v>
      </c>
      <c r="U11" s="2">
        <v>4</v>
      </c>
      <c r="V11" s="2">
        <v>5</v>
      </c>
      <c r="W11" s="2">
        <v>5</v>
      </c>
      <c r="X11" s="9">
        <v>5</v>
      </c>
      <c r="Y11" s="8">
        <f t="shared" si="0"/>
        <v>44</v>
      </c>
      <c r="Z11" s="9">
        <f t="shared" si="1"/>
        <v>39</v>
      </c>
      <c r="AA11" s="8">
        <f t="shared" si="2"/>
        <v>4.4000000000000004</v>
      </c>
      <c r="AB11" s="9">
        <f t="shared" si="3"/>
        <v>3.9</v>
      </c>
      <c r="AC11" s="18" t="s">
        <v>51</v>
      </c>
      <c r="AD11" s="15">
        <v>46185</v>
      </c>
    </row>
    <row r="12" spans="1:30" x14ac:dyDescent="0.35">
      <c r="A12" s="8" t="s">
        <v>38</v>
      </c>
      <c r="B12" s="2" t="s">
        <v>28</v>
      </c>
      <c r="C12" s="3">
        <v>23</v>
      </c>
      <c r="D12" s="9" t="s">
        <v>55</v>
      </c>
      <c r="E12" s="8">
        <v>4</v>
      </c>
      <c r="F12" s="2">
        <v>3</v>
      </c>
      <c r="G12" s="2">
        <v>5</v>
      </c>
      <c r="H12" s="2">
        <v>4</v>
      </c>
      <c r="I12" s="2">
        <v>2</v>
      </c>
      <c r="J12" s="2">
        <v>5</v>
      </c>
      <c r="K12" s="2">
        <v>5</v>
      </c>
      <c r="L12" s="2">
        <v>2</v>
      </c>
      <c r="M12" s="2">
        <v>3</v>
      </c>
      <c r="N12" s="9">
        <v>3</v>
      </c>
      <c r="O12" s="8">
        <v>5</v>
      </c>
      <c r="P12" s="2">
        <v>3</v>
      </c>
      <c r="Q12" s="2">
        <v>5</v>
      </c>
      <c r="R12" s="2">
        <v>3</v>
      </c>
      <c r="S12" s="2">
        <v>2</v>
      </c>
      <c r="T12" s="2">
        <v>2</v>
      </c>
      <c r="U12" s="2">
        <v>5</v>
      </c>
      <c r="V12" s="2">
        <v>5</v>
      </c>
      <c r="W12" s="2">
        <v>5</v>
      </c>
      <c r="X12" s="9">
        <v>4</v>
      </c>
      <c r="Y12" s="8">
        <f t="shared" si="0"/>
        <v>36</v>
      </c>
      <c r="Z12" s="9">
        <f t="shared" si="1"/>
        <v>39</v>
      </c>
      <c r="AA12" s="8">
        <f t="shared" si="2"/>
        <v>3.6</v>
      </c>
      <c r="AB12" s="9">
        <f t="shared" si="3"/>
        <v>3.9</v>
      </c>
      <c r="AC12" s="18" t="s">
        <v>52</v>
      </c>
      <c r="AD12" s="15">
        <v>46185</v>
      </c>
    </row>
    <row r="13" spans="1:30" x14ac:dyDescent="0.35">
      <c r="A13" s="8" t="s">
        <v>39</v>
      </c>
      <c r="B13" s="2" t="s">
        <v>31</v>
      </c>
      <c r="C13" s="3">
        <v>24</v>
      </c>
      <c r="D13" s="9" t="s">
        <v>55</v>
      </c>
      <c r="E13" s="8">
        <v>3</v>
      </c>
      <c r="F13" s="2">
        <v>1</v>
      </c>
      <c r="G13" s="2">
        <v>3</v>
      </c>
      <c r="H13" s="2">
        <v>3</v>
      </c>
      <c r="I13" s="2">
        <v>5</v>
      </c>
      <c r="J13" s="2">
        <v>3</v>
      </c>
      <c r="K13" s="2">
        <v>5</v>
      </c>
      <c r="L13" s="2">
        <v>5</v>
      </c>
      <c r="M13" s="2">
        <v>1</v>
      </c>
      <c r="N13" s="9">
        <v>2</v>
      </c>
      <c r="O13" s="8">
        <v>3</v>
      </c>
      <c r="P13" s="2">
        <v>2</v>
      </c>
      <c r="Q13" s="2">
        <v>2</v>
      </c>
      <c r="R13" s="2">
        <v>2</v>
      </c>
      <c r="S13" s="2">
        <v>2</v>
      </c>
      <c r="T13" s="2">
        <v>3</v>
      </c>
      <c r="U13" s="2">
        <v>3</v>
      </c>
      <c r="V13" s="2">
        <v>3</v>
      </c>
      <c r="W13" s="2">
        <v>3</v>
      </c>
      <c r="X13" s="9">
        <v>3</v>
      </c>
      <c r="Y13" s="8">
        <f t="shared" si="0"/>
        <v>31</v>
      </c>
      <c r="Z13" s="9">
        <f t="shared" si="1"/>
        <v>26</v>
      </c>
      <c r="AA13" s="8">
        <f t="shared" si="2"/>
        <v>3.1</v>
      </c>
      <c r="AB13" s="9">
        <f t="shared" si="3"/>
        <v>2.6</v>
      </c>
      <c r="AC13" s="18" t="s">
        <v>51</v>
      </c>
      <c r="AD13" s="15">
        <v>46185</v>
      </c>
    </row>
    <row r="14" spans="1:30" x14ac:dyDescent="0.35">
      <c r="A14" s="8" t="s">
        <v>40</v>
      </c>
      <c r="B14" s="2" t="s">
        <v>28</v>
      </c>
      <c r="C14" s="3">
        <v>22</v>
      </c>
      <c r="D14" s="9" t="s">
        <v>56</v>
      </c>
      <c r="E14" s="8">
        <v>3</v>
      </c>
      <c r="F14" s="2">
        <v>4</v>
      </c>
      <c r="G14" s="2">
        <v>4</v>
      </c>
      <c r="H14" s="2">
        <v>4</v>
      </c>
      <c r="I14" s="2">
        <v>3</v>
      </c>
      <c r="J14" s="2">
        <v>4</v>
      </c>
      <c r="K14" s="2">
        <v>4</v>
      </c>
      <c r="L14" s="2">
        <v>4</v>
      </c>
      <c r="M14" s="2">
        <v>4</v>
      </c>
      <c r="N14" s="9">
        <v>4</v>
      </c>
      <c r="O14" s="8">
        <v>3</v>
      </c>
      <c r="P14" s="2">
        <v>3</v>
      </c>
      <c r="Q14" s="2">
        <v>4</v>
      </c>
      <c r="R14" s="2">
        <v>3</v>
      </c>
      <c r="S14" s="2">
        <v>4</v>
      </c>
      <c r="T14" s="2">
        <v>3</v>
      </c>
      <c r="U14" s="2">
        <v>3</v>
      </c>
      <c r="V14" s="2">
        <v>3</v>
      </c>
      <c r="W14" s="2">
        <v>4</v>
      </c>
      <c r="X14" s="9">
        <v>4</v>
      </c>
      <c r="Y14" s="8">
        <f>SUM(E14:N14)</f>
        <v>38</v>
      </c>
      <c r="Z14" s="9">
        <f t="shared" si="1"/>
        <v>34</v>
      </c>
      <c r="AA14" s="8">
        <f t="shared" si="2"/>
        <v>3.8</v>
      </c>
      <c r="AB14" s="9">
        <f t="shared" si="3"/>
        <v>3.4</v>
      </c>
      <c r="AC14" s="18" t="s">
        <v>51</v>
      </c>
      <c r="AD14" s="15">
        <v>46186</v>
      </c>
    </row>
    <row r="15" spans="1:30" x14ac:dyDescent="0.35">
      <c r="A15" s="8" t="s">
        <v>41</v>
      </c>
      <c r="B15" s="2" t="s">
        <v>31</v>
      </c>
      <c r="C15" s="3">
        <v>18</v>
      </c>
      <c r="D15" s="9" t="s">
        <v>55</v>
      </c>
      <c r="E15" s="8">
        <v>4</v>
      </c>
      <c r="F15" s="2">
        <v>5</v>
      </c>
      <c r="G15" s="2">
        <v>4</v>
      </c>
      <c r="H15" s="2">
        <v>4</v>
      </c>
      <c r="I15" s="2">
        <v>2</v>
      </c>
      <c r="J15" s="2">
        <v>4</v>
      </c>
      <c r="K15" s="2">
        <v>4</v>
      </c>
      <c r="L15" s="2">
        <v>4</v>
      </c>
      <c r="M15" s="2">
        <v>4</v>
      </c>
      <c r="N15" s="9">
        <v>4</v>
      </c>
      <c r="O15" s="8">
        <v>3</v>
      </c>
      <c r="P15" s="2">
        <v>4</v>
      </c>
      <c r="Q15" s="2">
        <v>4</v>
      </c>
      <c r="R15" s="2">
        <v>3</v>
      </c>
      <c r="S15" s="2">
        <v>4</v>
      </c>
      <c r="T15" s="2">
        <v>3</v>
      </c>
      <c r="U15" s="2">
        <v>4</v>
      </c>
      <c r="V15" s="2">
        <v>3</v>
      </c>
      <c r="W15" s="2">
        <v>3</v>
      </c>
      <c r="X15" s="9">
        <v>3</v>
      </c>
      <c r="Y15" s="8">
        <f t="shared" si="0"/>
        <v>39</v>
      </c>
      <c r="Z15" s="9">
        <f t="shared" si="1"/>
        <v>34</v>
      </c>
      <c r="AA15" s="8">
        <f t="shared" si="2"/>
        <v>3.9</v>
      </c>
      <c r="AB15" s="9">
        <f t="shared" si="3"/>
        <v>3.4</v>
      </c>
      <c r="AC15" s="18" t="s">
        <v>51</v>
      </c>
      <c r="AD15" s="15">
        <v>46186</v>
      </c>
    </row>
    <row r="16" spans="1:30" x14ac:dyDescent="0.35">
      <c r="A16" s="8" t="s">
        <v>42</v>
      </c>
      <c r="B16" s="2" t="s">
        <v>31</v>
      </c>
      <c r="C16" s="3">
        <v>22</v>
      </c>
      <c r="D16" s="9" t="s">
        <v>55</v>
      </c>
      <c r="E16" s="8">
        <v>4</v>
      </c>
      <c r="F16" s="2">
        <v>5</v>
      </c>
      <c r="G16" s="2">
        <v>5</v>
      </c>
      <c r="H16" s="2">
        <v>4</v>
      </c>
      <c r="I16" s="2">
        <v>4</v>
      </c>
      <c r="J16" s="2">
        <v>5</v>
      </c>
      <c r="K16" s="2">
        <v>4</v>
      </c>
      <c r="L16" s="2">
        <v>2</v>
      </c>
      <c r="M16" s="2">
        <v>4</v>
      </c>
      <c r="N16" s="9">
        <v>2</v>
      </c>
      <c r="O16" s="8">
        <v>5</v>
      </c>
      <c r="P16" s="2">
        <v>5</v>
      </c>
      <c r="Q16" s="2">
        <v>3</v>
      </c>
      <c r="R16" s="2">
        <v>2</v>
      </c>
      <c r="S16" s="2">
        <v>5</v>
      </c>
      <c r="T16" s="2">
        <v>4</v>
      </c>
      <c r="U16" s="2">
        <v>2</v>
      </c>
      <c r="V16" s="2">
        <v>2</v>
      </c>
      <c r="W16" s="2">
        <v>5</v>
      </c>
      <c r="X16" s="9">
        <v>4</v>
      </c>
      <c r="Y16" s="8">
        <f t="shared" si="0"/>
        <v>39</v>
      </c>
      <c r="Z16" s="9">
        <f t="shared" si="1"/>
        <v>37</v>
      </c>
      <c r="AA16" s="8">
        <f t="shared" si="2"/>
        <v>3.9</v>
      </c>
      <c r="AB16" s="9">
        <f t="shared" si="3"/>
        <v>3.7</v>
      </c>
      <c r="AC16" s="18" t="s">
        <v>53</v>
      </c>
      <c r="AD16" s="15">
        <v>46066</v>
      </c>
    </row>
    <row r="17" spans="1:30" x14ac:dyDescent="0.35">
      <c r="A17" s="8" t="s">
        <v>43</v>
      </c>
      <c r="B17" s="2" t="s">
        <v>31</v>
      </c>
      <c r="C17" s="3">
        <v>21</v>
      </c>
      <c r="D17" s="9" t="s">
        <v>55</v>
      </c>
      <c r="E17" s="8">
        <v>3</v>
      </c>
      <c r="F17" s="2">
        <v>2</v>
      </c>
      <c r="G17" s="2">
        <v>3</v>
      </c>
      <c r="H17" s="2">
        <v>3</v>
      </c>
      <c r="I17" s="2">
        <v>5</v>
      </c>
      <c r="J17" s="2">
        <v>3</v>
      </c>
      <c r="K17" s="2">
        <v>4</v>
      </c>
      <c r="L17" s="2">
        <v>3</v>
      </c>
      <c r="M17" s="2">
        <v>3</v>
      </c>
      <c r="N17" s="9">
        <v>3</v>
      </c>
      <c r="O17" s="8">
        <v>4</v>
      </c>
      <c r="P17" s="2">
        <v>4</v>
      </c>
      <c r="Q17" s="2">
        <v>3</v>
      </c>
      <c r="R17" s="2">
        <v>3</v>
      </c>
      <c r="S17" s="2">
        <v>5</v>
      </c>
      <c r="T17" s="2">
        <v>3</v>
      </c>
      <c r="U17" s="2">
        <v>3</v>
      </c>
      <c r="V17" s="2">
        <v>3</v>
      </c>
      <c r="W17" s="2">
        <v>4</v>
      </c>
      <c r="X17" s="9">
        <v>3</v>
      </c>
      <c r="Y17" s="8">
        <f t="shared" si="0"/>
        <v>32</v>
      </c>
      <c r="Z17" s="9">
        <f t="shared" si="1"/>
        <v>35</v>
      </c>
      <c r="AA17" s="8">
        <f t="shared" si="2"/>
        <v>3.2</v>
      </c>
      <c r="AB17" s="9">
        <f t="shared" si="3"/>
        <v>3.5</v>
      </c>
      <c r="AC17" s="18" t="s">
        <v>52</v>
      </c>
      <c r="AD17" s="15">
        <v>46066</v>
      </c>
    </row>
    <row r="18" spans="1:30" x14ac:dyDescent="0.35">
      <c r="A18" s="8" t="s">
        <v>44</v>
      </c>
      <c r="B18" s="2" t="s">
        <v>28</v>
      </c>
      <c r="C18" s="3">
        <v>20</v>
      </c>
      <c r="D18" s="9" t="s">
        <v>55</v>
      </c>
      <c r="E18" s="8">
        <v>3</v>
      </c>
      <c r="F18" s="2">
        <v>2</v>
      </c>
      <c r="G18" s="2">
        <v>5</v>
      </c>
      <c r="H18" s="2">
        <v>5</v>
      </c>
      <c r="I18" s="2">
        <v>5</v>
      </c>
      <c r="J18" s="2">
        <v>2</v>
      </c>
      <c r="K18" s="2">
        <v>5</v>
      </c>
      <c r="L18" s="2">
        <v>5</v>
      </c>
      <c r="M18" s="2">
        <v>5</v>
      </c>
      <c r="N18" s="9">
        <v>2</v>
      </c>
      <c r="O18" s="8">
        <v>2</v>
      </c>
      <c r="P18" s="2">
        <v>4</v>
      </c>
      <c r="Q18" s="2">
        <v>4</v>
      </c>
      <c r="R18" s="2">
        <v>3</v>
      </c>
      <c r="S18" s="2">
        <v>5</v>
      </c>
      <c r="T18" s="2">
        <v>2</v>
      </c>
      <c r="U18" s="2">
        <v>5</v>
      </c>
      <c r="V18" s="2">
        <v>4</v>
      </c>
      <c r="W18" s="2">
        <v>3</v>
      </c>
      <c r="X18" s="9">
        <v>5</v>
      </c>
      <c r="Y18" s="8">
        <f t="shared" si="0"/>
        <v>39</v>
      </c>
      <c r="Z18" s="9">
        <f t="shared" si="1"/>
        <v>37</v>
      </c>
      <c r="AA18" s="8">
        <f t="shared" si="2"/>
        <v>3.9</v>
      </c>
      <c r="AB18" s="9">
        <f t="shared" si="3"/>
        <v>3.7</v>
      </c>
      <c r="AC18" s="18" t="s">
        <v>53</v>
      </c>
      <c r="AD18" s="15">
        <v>46066</v>
      </c>
    </row>
    <row r="19" spans="1:30" x14ac:dyDescent="0.35">
      <c r="A19" s="8" t="s">
        <v>45</v>
      </c>
      <c r="B19" s="2" t="s">
        <v>28</v>
      </c>
      <c r="C19" s="3">
        <v>22</v>
      </c>
      <c r="D19" s="9" t="s">
        <v>55</v>
      </c>
      <c r="E19" s="8">
        <v>4</v>
      </c>
      <c r="F19" s="2">
        <v>5</v>
      </c>
      <c r="G19" s="2">
        <v>5</v>
      </c>
      <c r="H19" s="2">
        <v>5</v>
      </c>
      <c r="I19" s="2">
        <v>5</v>
      </c>
      <c r="J19" s="2">
        <v>3</v>
      </c>
      <c r="K19" s="2">
        <v>4</v>
      </c>
      <c r="L19" s="2">
        <v>5</v>
      </c>
      <c r="M19" s="2">
        <v>5</v>
      </c>
      <c r="N19" s="9">
        <v>5</v>
      </c>
      <c r="O19" s="8">
        <v>4</v>
      </c>
      <c r="P19" s="2">
        <v>3</v>
      </c>
      <c r="Q19" s="2">
        <v>4</v>
      </c>
      <c r="R19" s="2">
        <v>5</v>
      </c>
      <c r="S19" s="2">
        <v>5</v>
      </c>
      <c r="T19" s="2">
        <v>4</v>
      </c>
      <c r="U19" s="2">
        <v>5</v>
      </c>
      <c r="V19" s="2">
        <v>4</v>
      </c>
      <c r="W19" s="2">
        <v>5</v>
      </c>
      <c r="X19" s="9">
        <v>5</v>
      </c>
      <c r="Y19" s="8">
        <f t="shared" si="0"/>
        <v>46</v>
      </c>
      <c r="Z19" s="9">
        <f t="shared" ref="Z19:Z24" si="4">SUM(O19:X19)</f>
        <v>44</v>
      </c>
      <c r="AA19" s="8">
        <f t="shared" si="2"/>
        <v>4.5999999999999996</v>
      </c>
      <c r="AB19" s="9">
        <f t="shared" si="3"/>
        <v>4.4000000000000004</v>
      </c>
      <c r="AC19" s="18" t="s">
        <v>53</v>
      </c>
      <c r="AD19" s="15">
        <v>46066</v>
      </c>
    </row>
    <row r="20" spans="1:30" x14ac:dyDescent="0.35">
      <c r="A20" s="8" t="s">
        <v>46</v>
      </c>
      <c r="B20" s="2" t="s">
        <v>28</v>
      </c>
      <c r="C20" s="3">
        <v>23</v>
      </c>
      <c r="D20" s="9" t="s">
        <v>55</v>
      </c>
      <c r="E20" s="8">
        <v>3</v>
      </c>
      <c r="F20" s="2">
        <v>4</v>
      </c>
      <c r="G20" s="2">
        <v>5</v>
      </c>
      <c r="H20" s="2">
        <v>5</v>
      </c>
      <c r="I20" s="2">
        <v>5</v>
      </c>
      <c r="J20" s="2">
        <v>3</v>
      </c>
      <c r="K20" s="2">
        <v>5</v>
      </c>
      <c r="L20" s="2">
        <v>5</v>
      </c>
      <c r="M20" s="2">
        <v>4</v>
      </c>
      <c r="N20" s="9">
        <v>4</v>
      </c>
      <c r="O20" s="8">
        <v>5</v>
      </c>
      <c r="P20" s="2">
        <v>5</v>
      </c>
      <c r="Q20" s="2">
        <v>4</v>
      </c>
      <c r="R20" s="2">
        <v>5</v>
      </c>
      <c r="S20" s="2">
        <v>5</v>
      </c>
      <c r="T20" s="2">
        <v>4</v>
      </c>
      <c r="U20" s="2">
        <v>3</v>
      </c>
      <c r="V20" s="2">
        <v>4</v>
      </c>
      <c r="W20" s="2">
        <v>5</v>
      </c>
      <c r="X20" s="9">
        <v>3</v>
      </c>
      <c r="Y20" s="8">
        <f t="shared" si="0"/>
        <v>43</v>
      </c>
      <c r="Z20" s="9">
        <f t="shared" si="4"/>
        <v>43</v>
      </c>
      <c r="AA20" s="8">
        <f t="shared" si="2"/>
        <v>4.3</v>
      </c>
      <c r="AB20" s="9">
        <f t="shared" si="3"/>
        <v>4.3</v>
      </c>
      <c r="AC20" s="18" t="s">
        <v>53</v>
      </c>
      <c r="AD20" s="15">
        <v>46066</v>
      </c>
    </row>
    <row r="21" spans="1:30" x14ac:dyDescent="0.35">
      <c r="A21" s="8" t="s">
        <v>47</v>
      </c>
      <c r="B21" s="2" t="s">
        <v>31</v>
      </c>
      <c r="C21" s="3">
        <v>23</v>
      </c>
      <c r="D21" s="9" t="s">
        <v>55</v>
      </c>
      <c r="E21" s="8">
        <v>3</v>
      </c>
      <c r="F21" s="2">
        <v>5</v>
      </c>
      <c r="G21" s="2">
        <v>4</v>
      </c>
      <c r="H21" s="2">
        <v>4</v>
      </c>
      <c r="I21" s="2">
        <v>2</v>
      </c>
      <c r="J21" s="2">
        <v>2</v>
      </c>
      <c r="K21" s="2">
        <v>4</v>
      </c>
      <c r="L21" s="2">
        <v>2</v>
      </c>
      <c r="M21" s="2">
        <v>4</v>
      </c>
      <c r="N21" s="9">
        <v>2</v>
      </c>
      <c r="O21" s="8">
        <v>3</v>
      </c>
      <c r="P21" s="2">
        <v>1</v>
      </c>
      <c r="Q21" s="2">
        <v>4</v>
      </c>
      <c r="R21" s="2">
        <v>3</v>
      </c>
      <c r="S21" s="2">
        <v>4</v>
      </c>
      <c r="T21" s="2">
        <v>3</v>
      </c>
      <c r="U21" s="2">
        <v>3</v>
      </c>
      <c r="V21" s="2">
        <v>4</v>
      </c>
      <c r="W21" s="2">
        <v>4</v>
      </c>
      <c r="X21" s="9">
        <v>2</v>
      </c>
      <c r="Y21" s="8">
        <f t="shared" si="0"/>
        <v>32</v>
      </c>
      <c r="Z21" s="9">
        <f t="shared" si="4"/>
        <v>31</v>
      </c>
      <c r="AA21" s="8">
        <f t="shared" si="2"/>
        <v>3.2</v>
      </c>
      <c r="AB21" s="9">
        <f t="shared" si="3"/>
        <v>3.1</v>
      </c>
      <c r="AC21" s="18" t="s">
        <v>53</v>
      </c>
      <c r="AD21" s="15">
        <v>46066</v>
      </c>
    </row>
    <row r="22" spans="1:30" x14ac:dyDescent="0.35">
      <c r="A22" s="8" t="s">
        <v>48</v>
      </c>
      <c r="B22" s="2" t="s">
        <v>28</v>
      </c>
      <c r="C22" s="3">
        <v>23</v>
      </c>
      <c r="D22" s="9" t="s">
        <v>55</v>
      </c>
      <c r="E22" s="8">
        <v>4</v>
      </c>
      <c r="F22" s="2">
        <v>3</v>
      </c>
      <c r="G22" s="2">
        <v>5</v>
      </c>
      <c r="H22" s="2">
        <v>4</v>
      </c>
      <c r="I22" s="2">
        <v>4</v>
      </c>
      <c r="J22" s="2">
        <v>4</v>
      </c>
      <c r="K22" s="2">
        <v>5</v>
      </c>
      <c r="L22" s="2">
        <v>4</v>
      </c>
      <c r="M22" s="2">
        <v>4</v>
      </c>
      <c r="N22" s="9">
        <v>3</v>
      </c>
      <c r="O22" s="8">
        <v>5</v>
      </c>
      <c r="P22" s="2">
        <v>5</v>
      </c>
      <c r="Q22" s="2">
        <v>4</v>
      </c>
      <c r="R22" s="2">
        <v>4</v>
      </c>
      <c r="S22" s="2">
        <v>3</v>
      </c>
      <c r="T22" s="2">
        <v>4</v>
      </c>
      <c r="U22" s="2">
        <v>4</v>
      </c>
      <c r="V22" s="2">
        <v>4</v>
      </c>
      <c r="W22" s="2">
        <v>4</v>
      </c>
      <c r="X22" s="9">
        <v>2</v>
      </c>
      <c r="Y22" s="8">
        <f t="shared" si="0"/>
        <v>40</v>
      </c>
      <c r="Z22" s="9">
        <f t="shared" si="4"/>
        <v>39</v>
      </c>
      <c r="AA22" s="8">
        <f t="shared" si="2"/>
        <v>4</v>
      </c>
      <c r="AB22" s="9">
        <f t="shared" si="3"/>
        <v>3.9</v>
      </c>
      <c r="AC22" s="18" t="s">
        <v>53</v>
      </c>
      <c r="AD22" s="15">
        <v>46066</v>
      </c>
    </row>
    <row r="23" spans="1:30" x14ac:dyDescent="0.35">
      <c r="A23" s="8" t="s">
        <v>49</v>
      </c>
      <c r="B23" s="2" t="s">
        <v>28</v>
      </c>
      <c r="C23" s="3">
        <v>23</v>
      </c>
      <c r="D23" s="9" t="s">
        <v>55</v>
      </c>
      <c r="E23" s="8">
        <v>2</v>
      </c>
      <c r="F23" s="2">
        <v>4</v>
      </c>
      <c r="G23" s="2">
        <v>2</v>
      </c>
      <c r="H23" s="2">
        <v>3</v>
      </c>
      <c r="I23" s="2">
        <v>3</v>
      </c>
      <c r="J23" s="2">
        <v>4</v>
      </c>
      <c r="K23" s="2">
        <v>4</v>
      </c>
      <c r="L23" s="2">
        <v>2</v>
      </c>
      <c r="M23" s="2">
        <v>5</v>
      </c>
      <c r="N23" s="9">
        <v>2</v>
      </c>
      <c r="O23" s="8">
        <v>4</v>
      </c>
      <c r="P23" s="2">
        <v>3</v>
      </c>
      <c r="Q23" s="2">
        <v>3</v>
      </c>
      <c r="R23" s="2">
        <v>5</v>
      </c>
      <c r="S23" s="2">
        <v>5</v>
      </c>
      <c r="T23" s="2">
        <v>4</v>
      </c>
      <c r="U23" s="2">
        <v>2</v>
      </c>
      <c r="V23" s="2">
        <v>2</v>
      </c>
      <c r="W23" s="2">
        <v>3</v>
      </c>
      <c r="X23" s="9">
        <v>4</v>
      </c>
      <c r="Y23" s="8">
        <f t="shared" si="0"/>
        <v>31</v>
      </c>
      <c r="Z23" s="9">
        <f t="shared" si="4"/>
        <v>35</v>
      </c>
      <c r="AA23" s="8">
        <f t="shared" si="2"/>
        <v>3.1</v>
      </c>
      <c r="AB23" s="9">
        <f t="shared" si="3"/>
        <v>3.5</v>
      </c>
      <c r="AC23" s="18" t="s">
        <v>52</v>
      </c>
      <c r="AD23" s="15">
        <v>46066</v>
      </c>
    </row>
    <row r="24" spans="1:30" ht="18.600000000000001" thickBot="1" x14ac:dyDescent="0.4">
      <c r="A24" s="10" t="s">
        <v>50</v>
      </c>
      <c r="B24" s="11" t="s">
        <v>28</v>
      </c>
      <c r="C24" s="12">
        <v>23</v>
      </c>
      <c r="D24" s="13" t="s">
        <v>55</v>
      </c>
      <c r="E24" s="10">
        <v>4</v>
      </c>
      <c r="F24" s="11">
        <v>4</v>
      </c>
      <c r="G24" s="11">
        <v>4</v>
      </c>
      <c r="H24" s="11">
        <v>3</v>
      </c>
      <c r="I24" s="11">
        <v>4</v>
      </c>
      <c r="J24" s="11">
        <v>4</v>
      </c>
      <c r="K24" s="11">
        <v>3</v>
      </c>
      <c r="L24" s="11">
        <v>4</v>
      </c>
      <c r="M24" s="11">
        <v>4</v>
      </c>
      <c r="N24" s="13">
        <v>4</v>
      </c>
      <c r="O24" s="10">
        <v>3</v>
      </c>
      <c r="P24" s="11">
        <v>2</v>
      </c>
      <c r="Q24" s="11">
        <v>4</v>
      </c>
      <c r="R24" s="11">
        <v>4</v>
      </c>
      <c r="S24" s="11">
        <v>2</v>
      </c>
      <c r="T24" s="11">
        <v>4</v>
      </c>
      <c r="U24" s="11">
        <v>5</v>
      </c>
      <c r="V24" s="11">
        <v>2</v>
      </c>
      <c r="W24" s="11">
        <v>2</v>
      </c>
      <c r="X24" s="13">
        <v>3</v>
      </c>
      <c r="Y24" s="10">
        <f t="shared" si="0"/>
        <v>38</v>
      </c>
      <c r="Z24" s="13">
        <f t="shared" si="4"/>
        <v>31</v>
      </c>
      <c r="AA24" s="10">
        <f t="shared" si="2"/>
        <v>3.8</v>
      </c>
      <c r="AB24" s="13">
        <f t="shared" si="3"/>
        <v>3.1</v>
      </c>
      <c r="AC24" s="19" t="s">
        <v>51</v>
      </c>
      <c r="AD24" s="16">
        <v>46066</v>
      </c>
    </row>
  </sheetData>
  <mergeCells count="12">
    <mergeCell ref="Y1:Y2"/>
    <mergeCell ref="Z1:Z2"/>
    <mergeCell ref="AB1:AB2"/>
    <mergeCell ref="AD1:AD2"/>
    <mergeCell ref="A1:A2"/>
    <mergeCell ref="B1:B2"/>
    <mergeCell ref="C1:C2"/>
    <mergeCell ref="D1:D2"/>
    <mergeCell ref="E1:N1"/>
    <mergeCell ref="O1:X1"/>
    <mergeCell ref="AA1:AA2"/>
    <mergeCell ref="AC1:AC2"/>
  </mergeCells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83D3619527FC42ACA617BCAB51AD7B" ma:contentTypeVersion="13" ma:contentTypeDescription="Create a new document." ma:contentTypeScope="" ma:versionID="63dfa1794770c8836e9c8a08d54aec8d">
  <xsd:schema xmlns:xsd="http://www.w3.org/2001/XMLSchema" xmlns:xs="http://www.w3.org/2001/XMLSchema" xmlns:p="http://schemas.microsoft.com/office/2006/metadata/properties" xmlns:ns3="e1d14f93-ab04-4643-9a08-116e788a800b" xmlns:ns4="7f13d00b-5aa2-4c70-aa76-a7f18d1058f9" targetNamespace="http://schemas.microsoft.com/office/2006/metadata/properties" ma:root="true" ma:fieldsID="8015c381c0c12410104e3bf0ebb87e15" ns3:_="" ns4:_="">
    <xsd:import namespace="e1d14f93-ab04-4643-9a08-116e788a800b"/>
    <xsd:import namespace="7f13d00b-5aa2-4c70-aa76-a7f18d1058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14f93-ab04-4643-9a08-116e788a80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d00b-5aa2-4c70-aa76-a7f18d105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13d00b-5aa2-4c70-aa76-a7f18d1058f9" xsi:nil="true"/>
  </documentManagement>
</p:properties>
</file>

<file path=customXml/itemProps1.xml><?xml version="1.0" encoding="utf-8"?>
<ds:datastoreItem xmlns:ds="http://schemas.openxmlformats.org/officeDocument/2006/customXml" ds:itemID="{3B017A91-3A42-44A9-B162-723ABFA39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d14f93-ab04-4643-9a08-116e788a800b"/>
    <ds:schemaRef ds:uri="7f13d00b-5aa2-4c70-aa76-a7f18d1058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8B8EA4-847B-444C-8A3D-0D1FFA52EA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42A8A-8D48-4E96-8432-0A6179BEF71B}">
  <ds:schemaRefs>
    <ds:schemaRef ds:uri="http://purl.org/dc/terms/"/>
    <ds:schemaRef ds:uri="7f13d00b-5aa2-4c70-aa76-a7f18d1058f9"/>
    <ds:schemaRef ds:uri="e1d14f93-ab04-4643-9a08-116e788a800b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CL</dc:creator>
  <cp:keywords/>
  <dc:description/>
  <cp:lastModifiedBy>Luis Omar Carrillo Luna</cp:lastModifiedBy>
  <cp:revision/>
  <cp:lastPrinted>2026-08-09T23:18:58Z</cp:lastPrinted>
  <dcterms:created xsi:type="dcterms:W3CDTF">2026-02-04T22:44:14Z</dcterms:created>
  <dcterms:modified xsi:type="dcterms:W3CDTF">2026-08-12T04:06:03Z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0x0101001E83D3619527FC42ACA617BCAB51AD7B</vt:lpwstr>
  </property>
</Properties>
</file>